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אזן בוח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A301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  <font>
      <name val="Arial"/>
      <sz val="10"/>
    </font>
    <font>
      <name val="Arial"/>
      <b val="1"/>
      <color rgb="003A2000"/>
      <sz val="11"/>
    </font>
    <font>
      <name val="Arial"/>
      <b val="1"/>
      <color rgb="0015803D"/>
      <sz val="11"/>
    </font>
  </fonts>
  <fills count="8">
    <fill>
      <patternFill/>
    </fill>
    <fill>
      <patternFill patternType="gray125"/>
    </fill>
    <fill>
      <patternFill patternType="solid">
        <fgColor rgb="003A2000"/>
      </patternFill>
    </fill>
    <fill>
      <patternFill patternType="solid">
        <fgColor rgb="00FDF3DC"/>
      </patternFill>
    </fill>
    <fill>
      <patternFill patternType="solid">
        <fgColor rgb="00FFF8E8"/>
      </patternFill>
    </fill>
    <fill>
      <patternFill patternType="solid">
        <fgColor rgb="00FFFFFF"/>
      </patternFill>
    </fill>
    <fill>
      <patternFill patternType="solid">
        <fgColor rgb="00C99A2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C0A8"/>
      </left>
      <right style="thin">
        <color rgb="00D1C0A8"/>
      </right>
      <top style="thin">
        <color rgb="00D1C0A8"/>
      </top>
      <bottom style="thin">
        <color rgb="00D1C0A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49" fontId="4" fillId="4" borderId="1" applyAlignment="1" pivotButton="0" quotePrefix="0" xfId="0">
      <alignment horizontal="center" vertical="center" readingOrder="2"/>
    </xf>
    <xf numFmtId="49" fontId="4" fillId="4" borderId="1" applyAlignment="1" pivotButton="0" quotePrefix="0" xfId="0">
      <alignment horizontal="right" vertical="center" readingOrder="2"/>
    </xf>
    <xf numFmtId="164" fontId="4" fillId="4" borderId="1" applyAlignment="1" pivotButton="0" quotePrefix="0" xfId="0">
      <alignment horizontal="right" vertical="center" readingOrder="2"/>
    </xf>
    <xf numFmtId="164" fontId="5" fillId="4" borderId="1" applyAlignment="1" pivotButton="0" quotePrefix="0" xfId="0">
      <alignment horizontal="right" vertical="center" readingOrder="2"/>
    </xf>
    <xf numFmtId="164" fontId="6" fillId="4" borderId="1" applyAlignment="1" pivotButton="0" quotePrefix="0" xfId="0">
      <alignment horizontal="right" vertical="center" readingOrder="2"/>
    </xf>
    <xf numFmtId="49" fontId="4" fillId="5" borderId="1" applyAlignment="1" pivotButton="0" quotePrefix="0" xfId="0">
      <alignment horizontal="center" vertical="center" readingOrder="2"/>
    </xf>
    <xf numFmtId="49" fontId="4" fillId="5" borderId="1" applyAlignment="1" pivotButton="0" quotePrefix="0" xfId="0">
      <alignment horizontal="right" vertical="center" readingOrder="2"/>
    </xf>
    <xf numFmtId="164" fontId="4" fillId="5" borderId="1" applyAlignment="1" pivotButton="0" quotePrefix="0" xfId="0">
      <alignment horizontal="right" vertical="center" readingOrder="2"/>
    </xf>
    <xf numFmtId="164" fontId="5" fillId="5" borderId="1" applyAlignment="1" pivotButton="0" quotePrefix="0" xfId="0">
      <alignment horizontal="right" vertical="center" readingOrder="2"/>
    </xf>
    <xf numFmtId="164" fontId="6" fillId="5" borderId="1" applyAlignment="1" pivotButton="0" quotePrefix="0" xfId="0">
      <alignment horizontal="right" vertical="center" readingOrder="2"/>
    </xf>
    <xf numFmtId="0" fontId="7" fillId="6" borderId="1" applyAlignment="1" pivotButton="0" quotePrefix="0" xfId="0">
      <alignment horizontal="center" vertical="center" readingOrder="2"/>
    </xf>
    <xf numFmtId="164" fontId="7" fillId="6" borderId="1" applyAlignment="1" pivotButton="0" quotePrefix="0" xfId="0">
      <alignment horizontal="right" vertical="center" readingOrder="2"/>
    </xf>
    <xf numFmtId="0" fontId="7" fillId="7" borderId="1" applyAlignment="1" pivotButton="0" quotePrefix="0" xfId="0">
      <alignment horizontal="right" vertical="center" readingOrder="2"/>
    </xf>
    <xf numFmtId="0" fontId="7" fillId="7" borderId="1" applyAlignment="1" pivotButton="0" quotePrefix="0" xfId="0">
      <alignment horizontal="center" vertical="center" readingOrder="2"/>
    </xf>
    <xf numFmtId="0" fontId="8" fillId="7" borderId="1" applyAlignment="1" pivotButton="0" quotePrefix="0" xfId="0">
      <alignment horizontal="center" readingOrder="2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מאזן בוחן — ינואר 2025</t>
        </is>
      </c>
    </row>
    <row r="2" ht="18" customHeight="1">
      <c r="A2" s="2" t="inlineStr">
        <is>
          <t>חברה: הדגמה בע"מ  |  תקופה: 01/01/2025 – 31/01/2025  |  הוכן ע"י: Auditera</t>
        </is>
      </c>
    </row>
    <row r="3" ht="22" customHeight="1">
      <c r="A3" s="3" t="inlineStr">
        <is>
          <t>קוד חשבון</t>
        </is>
      </c>
      <c r="B3" s="3" t="inlineStr">
        <is>
          <t>שם חשבון</t>
        </is>
      </c>
      <c r="C3" s="3" t="inlineStr">
        <is>
          <t>יתרת פתיחה</t>
        </is>
      </c>
      <c r="D3" s="3" t="inlineStr">
        <is>
          <t>חובה</t>
        </is>
      </c>
      <c r="E3" s="3" t="inlineStr">
        <is>
          <t>זכות</t>
        </is>
      </c>
      <c r="F3" s="3" t="inlineStr">
        <is>
          <t>יתרת סגירה</t>
        </is>
      </c>
    </row>
    <row r="4">
      <c r="A4" s="4" t="inlineStr">
        <is>
          <t>1100</t>
        </is>
      </c>
      <c r="B4" s="5" t="inlineStr">
        <is>
          <t>קופה ומזומן</t>
        </is>
      </c>
      <c r="C4" s="6" t="n">
        <v>42000</v>
      </c>
      <c r="D4" s="6" t="n">
        <v>86600</v>
      </c>
      <c r="E4" s="7" t="n">
        <v>74670</v>
      </c>
      <c r="F4" s="8">
        <f>C4+D4-E4</f>
        <v/>
      </c>
    </row>
    <row r="5">
      <c r="A5" s="9" t="inlineStr">
        <is>
          <t>1200</t>
        </is>
      </c>
      <c r="B5" s="10" t="inlineStr">
        <is>
          <t>לקוחות חייבים</t>
        </is>
      </c>
      <c r="C5" s="11" t="n">
        <v>15000</v>
      </c>
      <c r="D5" s="11" t="n">
        <v>86600</v>
      </c>
      <c r="E5" s="12" t="n">
        <v>86600</v>
      </c>
      <c r="F5" s="13">
        <f>C5+D5-E5</f>
        <v/>
      </c>
    </row>
    <row r="6">
      <c r="A6" s="4" t="inlineStr">
        <is>
          <t>1500</t>
        </is>
      </c>
      <c r="B6" s="5" t="inlineStr">
        <is>
          <t>ציוד ומחשבים</t>
        </is>
      </c>
      <c r="C6" s="6" t="n">
        <v>38000</v>
      </c>
      <c r="D6" s="6" t="n">
        <v>5400</v>
      </c>
      <c r="E6" s="6" t="n">
        <v>0</v>
      </c>
      <c r="F6" s="8">
        <f>C6+D6-E6</f>
        <v/>
      </c>
    </row>
    <row r="7">
      <c r="A7" s="9" t="inlineStr">
        <is>
          <t>2100</t>
        </is>
      </c>
      <c r="B7" s="10" t="inlineStr">
        <is>
          <t>ספקים</t>
        </is>
      </c>
      <c r="C7" s="12" t="n">
        <v>-9000</v>
      </c>
      <c r="D7" s="11" t="n">
        <v>74670</v>
      </c>
      <c r="E7" s="12" t="n">
        <v>86600</v>
      </c>
      <c r="F7" s="13">
        <f>C7+D7-E7</f>
        <v/>
      </c>
    </row>
    <row r="8">
      <c r="A8" s="4" t="inlineStr">
        <is>
          <t>2200</t>
        </is>
      </c>
      <c r="B8" s="5" t="inlineStr">
        <is>
          <t>הלוואות לזמן קצר</t>
        </is>
      </c>
      <c r="C8" s="7" t="n">
        <v>-20000</v>
      </c>
      <c r="D8" s="6" t="n">
        <v>0</v>
      </c>
      <c r="E8" s="6" t="n">
        <v>0</v>
      </c>
      <c r="F8" s="8">
        <f>C8+D8-E8</f>
        <v/>
      </c>
    </row>
    <row r="9">
      <c r="A9" s="9" t="inlineStr">
        <is>
          <t>3000</t>
        </is>
      </c>
      <c r="B9" s="10" t="inlineStr">
        <is>
          <t>הון עצמי</t>
        </is>
      </c>
      <c r="C9" s="12" t="n">
        <v>-66000</v>
      </c>
      <c r="D9" s="11" t="n">
        <v>0</v>
      </c>
      <c r="E9" s="11" t="n">
        <v>0</v>
      </c>
      <c r="F9" s="13">
        <f>C9+D9-E9</f>
        <v/>
      </c>
    </row>
    <row r="10">
      <c r="A10" s="4" t="inlineStr">
        <is>
          <t>4000</t>
        </is>
      </c>
      <c r="B10" s="5" t="inlineStr">
        <is>
          <t>הכנסות מלקוחות</t>
        </is>
      </c>
      <c r="C10" s="6" t="n">
        <v>0</v>
      </c>
      <c r="D10" s="6" t="n">
        <v>0</v>
      </c>
      <c r="E10" s="7" t="n">
        <v>86600</v>
      </c>
      <c r="F10" s="8">
        <f>C10+D10-E10</f>
        <v/>
      </c>
    </row>
    <row r="11">
      <c r="A11" s="9" t="inlineStr">
        <is>
          <t>5100</t>
        </is>
      </c>
      <c r="B11" s="10" t="inlineStr">
        <is>
          <t>שכר עובדים</t>
        </is>
      </c>
      <c r="C11" s="11" t="n">
        <v>0</v>
      </c>
      <c r="D11" s="11" t="n">
        <v>18000</v>
      </c>
      <c r="E11" s="11" t="n">
        <v>0</v>
      </c>
      <c r="F11" s="13">
        <f>C11+D11-E11</f>
        <v/>
      </c>
    </row>
    <row r="12">
      <c r="A12" s="4" t="inlineStr">
        <is>
          <t>5200</t>
        </is>
      </c>
      <c r="B12" s="5" t="inlineStr">
        <is>
          <t>הוצאות קבועות</t>
        </is>
      </c>
      <c r="C12" s="6" t="n">
        <v>0</v>
      </c>
      <c r="D12" s="6" t="n">
        <v>8500</v>
      </c>
      <c r="E12" s="6" t="n">
        <v>0</v>
      </c>
      <c r="F12" s="8">
        <f>C12+D12-E12</f>
        <v/>
      </c>
    </row>
    <row r="13">
      <c r="A13" s="9" t="inlineStr">
        <is>
          <t>5300</t>
        </is>
      </c>
      <c r="B13" s="10" t="inlineStr">
        <is>
          <t>שיווק ופרסום</t>
        </is>
      </c>
      <c r="C13" s="11" t="n">
        <v>0</v>
      </c>
      <c r="D13" s="11" t="n">
        <v>4000</v>
      </c>
      <c r="E13" s="11" t="n">
        <v>0</v>
      </c>
      <c r="F13" s="13">
        <f>C13+D13-E13</f>
        <v/>
      </c>
    </row>
    <row r="14">
      <c r="A14" s="4" t="inlineStr">
        <is>
          <t>5400</t>
        </is>
      </c>
      <c r="B14" s="5" t="inlineStr">
        <is>
          <t>שירותים מקצועיים</t>
        </is>
      </c>
      <c r="C14" s="6" t="n">
        <v>0</v>
      </c>
      <c r="D14" s="6" t="n">
        <v>9500</v>
      </c>
      <c r="E14" s="6" t="n">
        <v>0</v>
      </c>
      <c r="F14" s="8">
        <f>C14+D14-E14</f>
        <v/>
      </c>
    </row>
    <row r="15">
      <c r="A15" s="9" t="inlineStr">
        <is>
          <t>5500</t>
        </is>
      </c>
      <c r="B15" s="10" t="inlineStr">
        <is>
          <t>הוצאות משרד</t>
        </is>
      </c>
      <c r="C15" s="11" t="n">
        <v>0</v>
      </c>
      <c r="D15" s="11" t="n">
        <v>8140</v>
      </c>
      <c r="E15" s="11" t="n">
        <v>0</v>
      </c>
      <c r="F15" s="13">
        <f>C15+D15-E15</f>
        <v/>
      </c>
    </row>
    <row r="16">
      <c r="A16" s="4" t="inlineStr">
        <is>
          <t>5600</t>
        </is>
      </c>
      <c r="B16" s="5" t="inlineStr">
        <is>
          <t>תקשורת</t>
        </is>
      </c>
      <c r="C16" s="6" t="n">
        <v>0</v>
      </c>
      <c r="D16" s="6" t="n">
        <v>1440</v>
      </c>
      <c r="E16" s="6" t="n">
        <v>0</v>
      </c>
      <c r="F16" s="8">
        <f>C16+D16-E16</f>
        <v/>
      </c>
    </row>
    <row r="17">
      <c r="A17" s="9" t="inlineStr">
        <is>
          <t>5700</t>
        </is>
      </c>
      <c r="B17" s="10" t="inlineStr">
        <is>
          <t>רכב ונסיעות</t>
        </is>
      </c>
      <c r="C17" s="11" t="n">
        <v>0</v>
      </c>
      <c r="D17" s="11" t="n">
        <v>990</v>
      </c>
      <c r="E17" s="11" t="n">
        <v>0</v>
      </c>
      <c r="F17" s="13">
        <f>C17+D17-E17</f>
        <v/>
      </c>
    </row>
    <row r="18">
      <c r="A18" s="4" t="inlineStr">
        <is>
          <t>5800</t>
        </is>
      </c>
      <c r="B18" s="5" t="inlineStr">
        <is>
          <t>ביטוח</t>
        </is>
      </c>
      <c r="C18" s="6" t="n">
        <v>0</v>
      </c>
      <c r="D18" s="6" t="n">
        <v>4800</v>
      </c>
      <c r="E18" s="6" t="n">
        <v>0</v>
      </c>
      <c r="F18" s="8">
        <f>C18+D18-E18</f>
        <v/>
      </c>
    </row>
    <row r="19">
      <c r="A19" s="9" t="inlineStr">
        <is>
          <t>5900</t>
        </is>
      </c>
      <c r="B19" s="10" t="inlineStr">
        <is>
          <t>ספקים וחומרים</t>
        </is>
      </c>
      <c r="C19" s="11" t="n">
        <v>0</v>
      </c>
      <c r="D19" s="11" t="n">
        <v>6800</v>
      </c>
      <c r="E19" s="11" t="n">
        <v>0</v>
      </c>
      <c r="F19" s="13">
        <f>C19+D19-E19</f>
        <v/>
      </c>
    </row>
    <row r="20">
      <c r="A20" s="4" t="inlineStr">
        <is>
          <t>5950</t>
        </is>
      </c>
      <c r="B20" s="5" t="inlineStr">
        <is>
          <t>הוצאות שונות</t>
        </is>
      </c>
      <c r="C20" s="6" t="n">
        <v>0</v>
      </c>
      <c r="D20" s="6" t="n">
        <v>12500</v>
      </c>
      <c r="E20" s="6" t="n">
        <v>0</v>
      </c>
      <c r="F20" s="8">
        <f>C20+D20-E20</f>
        <v/>
      </c>
    </row>
    <row r="21" ht="22" customHeight="1">
      <c r="A21" s="14" t="inlineStr">
        <is>
          <t>סה"כ</t>
        </is>
      </c>
      <c r="B21" s="14" t="inlineStr"/>
      <c r="C21" s="15">
        <f>SUM(C4:C20)</f>
        <v/>
      </c>
      <c r="D21" s="15">
        <f>SUM(D4:D20)</f>
        <v/>
      </c>
      <c r="E21" s="15">
        <f>SUM(E4:E20)</f>
        <v/>
      </c>
      <c r="F21" s="15">
        <f>SUM(F4:F20)</f>
        <v/>
      </c>
    </row>
    <row r="22">
      <c r="A22" s="16" t="inlineStr">
        <is>
          <t>בדיקת מאזן</t>
        </is>
      </c>
      <c r="B22" s="17" t="inlineStr">
        <is>
          <t>חובה = זכות?</t>
        </is>
      </c>
      <c r="C22" s="18">
        <f>IF(D21=E21,"✓ מאוזן","✗ פער")</f>
        <v/>
      </c>
      <c r="D22" s="19" t="n"/>
      <c r="E22" s="19" t="n"/>
      <c r="F22" s="19" t="n"/>
    </row>
  </sheetData>
  <mergeCells count="3">
    <mergeCell ref="C22:F22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2026-09-01T17:13:27Z</dcterms:created>
  <dcterms:modified xmlns:dcterms="http://purl.org/dc/terms/" xmlns:xsi="http://www.w3.org/2001/XMLSchema-instance" xsi:type="dcterms:W3CDTF">2026-09-01T17:13:27Z</dcterms:modified>
</cp:coreProperties>
</file>